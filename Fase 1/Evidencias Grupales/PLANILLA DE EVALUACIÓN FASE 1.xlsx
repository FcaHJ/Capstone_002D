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1/"/>
    </mc:Choice>
  </mc:AlternateContent>
  <xr:revisionPtr revIDLastSave="21" documentId="8_{84D2E1FB-7D73-4A37-A556-B57FBE698E02}" xr6:coauthVersionLast="47" xr6:coauthVersionMax="47" xr10:uidLastSave="{9606F391-9A96-473B-88BB-9D2CBA124DCF}"/>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G55" i="1"/>
  <c r="E55" i="1"/>
  <c r="J54" i="1"/>
  <c r="K54" i="1" s="1"/>
  <c r="H54" i="1"/>
  <c r="I54" i="1" s="1"/>
  <c r="F54" i="1"/>
  <c r="G54" i="1" s="1"/>
  <c r="E54" i="1"/>
  <c r="J45" i="1"/>
  <c r="K45" i="1" s="1"/>
  <c r="H45" i="1"/>
  <c r="I45" i="1" s="1"/>
  <c r="F45" i="1"/>
  <c r="G45" i="1" s="1"/>
  <c r="E45" i="1"/>
  <c r="J44" i="1"/>
  <c r="K44" i="1" s="1"/>
  <c r="H44" i="1"/>
  <c r="I44" i="1" s="1"/>
  <c r="G44" i="1"/>
  <c r="E44" i="1"/>
  <c r="J43" i="1"/>
  <c r="K43" i="1" s="1"/>
  <c r="H43" i="1"/>
  <c r="I43" i="1" s="1"/>
  <c r="G43" i="1"/>
  <c r="E43" i="1"/>
  <c r="E19" i="1"/>
  <c r="G19" i="1"/>
  <c r="H19" i="1"/>
  <c r="I19" i="1" s="1"/>
  <c r="J19" i="1"/>
  <c r="K19" i="1" s="1"/>
  <c r="E17" i="1"/>
  <c r="G17" i="1"/>
  <c r="H17" i="1"/>
  <c r="I17" i="1" s="1"/>
  <c r="J17" i="1"/>
  <c r="K17" i="1" s="1"/>
  <c r="G31" i="1"/>
  <c r="H31" i="1"/>
  <c r="I31" i="1" s="1"/>
  <c r="J31" i="1"/>
  <c r="K31" i="1" s="1"/>
  <c r="G14" i="1"/>
  <c r="H14" i="1"/>
  <c r="I14" i="1" s="1"/>
  <c r="J14" i="1"/>
  <c r="K14" i="1" s="1"/>
  <c r="J33" i="1"/>
  <c r="K33" i="1" s="1"/>
  <c r="H33" i="1"/>
  <c r="I33" i="1" s="1"/>
  <c r="F33" i="1"/>
  <c r="G33" i="1" s="1"/>
  <c r="E33" i="1"/>
  <c r="C50" i="1"/>
  <c r="C39" i="1"/>
  <c r="B56" i="1"/>
  <c r="B55" i="1"/>
  <c r="B54" i="1"/>
  <c r="B45" i="1"/>
  <c r="B44" i="1"/>
  <c r="B43" i="1"/>
  <c r="D57" i="1"/>
  <c r="B32" i="1"/>
  <c r="B31" i="1"/>
  <c r="E31" i="1"/>
  <c r="B33" i="1"/>
  <c r="J32" i="1"/>
  <c r="K32" i="1" s="1"/>
  <c r="I32" i="1"/>
  <c r="G32" i="1"/>
  <c r="E32" i="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G21" i="1"/>
  <c r="C57" i="1" l="1"/>
  <c r="C46" i="1"/>
  <c r="E21" i="1"/>
  <c r="H21" i="1"/>
  <c r="I21" i="1" s="1"/>
  <c r="J21" i="1"/>
  <c r="K21" i="1" s="1"/>
  <c r="G22" i="1"/>
  <c r="I22" i="1"/>
  <c r="J22" i="1"/>
  <c r="K22" i="1" s="1"/>
  <c r="C27" i="1"/>
  <c r="J20" i="1"/>
  <c r="K20" i="1" s="1"/>
  <c r="H20" i="1"/>
  <c r="I20" i="1" s="1"/>
  <c r="E20" i="1"/>
  <c r="J18" i="1"/>
  <c r="K18" i="1" s="1"/>
  <c r="I18" i="1"/>
  <c r="G18" i="1"/>
  <c r="J16" i="1"/>
  <c r="K16" i="1" s="1"/>
  <c r="H16" i="1"/>
  <c r="I16" i="1" s="1"/>
  <c r="G16" i="1"/>
  <c r="J15" i="1"/>
  <c r="K15" i="1" s="1"/>
  <c r="H15" i="1"/>
  <c r="I15" i="1" s="1"/>
  <c r="G15" i="1"/>
  <c r="J13" i="1"/>
  <c r="K13" i="1" s="1"/>
  <c r="H13" i="1"/>
  <c r="I13" i="1" s="1"/>
  <c r="G13" i="1"/>
  <c r="E23" i="1" l="1"/>
  <c r="C58" i="1"/>
  <c r="D6" i="1" s="1"/>
  <c r="C47" i="1"/>
  <c r="D5" i="1" s="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<sst xmlns="http://schemas.openxmlformats.org/spreadsheetml/2006/main" count="172" uniqueCount="98">
  <si>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</si>
  <si>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</si>
  <si>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</si>
  <si>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</si>
  <si>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</si>
  <si>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</si>
  <si>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</si>
  <si>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</si>
  <si>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</si>
  <si>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</si>
  <si>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</si>
  <si>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</si>
  <si>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</si>
  <si>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</si>
  <si>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</si>
  <si>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</si>
  <si>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</si>
  <si>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</si>
  <si>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</si>
  <si>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</si>
  <si>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</si>
  <si>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</si>
  <si>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</si>
  <si>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</si>
  <si>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</si>
  <si>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</si>
  <si>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</si>
  <si>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</si>
  <si>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</si>
  <si>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</si>
  <si>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</si>
  <si>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</si>
  <si>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</si>
  <si>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</si>
  <si>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</si>
  <si>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</si>
  <si>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</si>
  <si>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</si>
  <si>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</si>
  <si>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</si>
  <si>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</si>
  <si>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</si>
  <si>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</si>
  <si>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</si>
  <si>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</si>
  <si>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</si>
  <si>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</si>
  <si>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</si>
  <si>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</si>
  <si>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</si>
  <si>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</si>
  <si>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</si>
  <si>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</si>
  <si>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</si>
  <si>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</si>
  <si>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</si>
  <si>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</si>
  <si>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</si>
  <si>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</si>
  <si>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</si>
  <si>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</si>
  <si>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</si>
  <si>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</si>
  <si>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</si>
  <si>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</si>
  <si>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</si>
  <si>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</si>
  <si>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</si>
  <si>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</si>
  <si>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</si>
  <si>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</si>
  <si>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</si>
  <si>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</si>
  <si>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</si>
  <si>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</si>
  <si>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</si>
  <si>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</si>
  <si>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</si>
  <si>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</si>
  <si>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</si>
  <si>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</si>
  <si>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</si>
  <si>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</si>
  <si>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</si>
  <si>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</si>
  <si>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</si>
  <si>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</si>
  <si>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</si>
  <si>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</si>
  <si>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</si>
  <si>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</si>
  <si>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</si>
  <si>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</si>
  <si>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</si>
  <si>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</si>
  <si>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</si>
  <si>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Esteban Fierro</t>
  </si>
  <si>
    <t>Francisca Herrera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</si>
</sst>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90" zoomScaleNormal="90" workbookViewId="0">
      <selection activeCell="D43" sqref="D43"/>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5.0999999999999996</v>
      </c>
      <c r="D4" s="6">
        <f>$C$35</f>
        <v>5</v>
      </c>
      <c r="E4" s="43">
        <f>C4*C$2+D4*D$2</f>
        <v>5.0749999999999993</v>
      </c>
      <c r="G4" s="1"/>
    </row>
    <row r="5" spans="1:11" x14ac:dyDescent="0.25">
      <c r="A5" s="5">
        <v>2</v>
      </c>
      <c r="B5" s="32" t="s">
        <v>97</v>
      </c>
      <c r="C5" s="6">
        <f>EVALUACION1!$C$24</f>
        <v>5.0999999999999996</v>
      </c>
      <c r="D5" s="6">
        <f>C47</f>
        <v>5</v>
      </c>
      <c r="E5" s="43">
        <f t="shared" ref="E5:E6" si="0">C5*C$2+D5*D$2</f>
        <v>5.0749999999999993</v>
      </c>
      <c r="G5" s="1"/>
    </row>
    <row r="6" spans="1:11" x14ac:dyDescent="0.25">
      <c r="A6" s="5">
        <v>3</v>
      </c>
      <c r="B6" s="32"/>
      <c r="C6" s="6">
        <f>EVALUACION1!$C$24</f>
        <v>5.0999999999999996</v>
      </c>
      <c r="D6" s="6">
        <f>C58</f>
        <v>1</v>
      </c>
      <c r="E6" s="43">
        <f t="shared" si="0"/>
        <v>4.0749999999999993</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
        <v>95</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c r="E14" s="16" t="str">
        <f t="shared" ref="E14" si="4">IF(D14="X",100*0.05,"")</f>
        <v/>
      </c>
      <c r="F14" s="16" t="s">
        <v>95</v>
      </c>
      <c r="G14" s="16">
        <f t="shared" ref="G14" si="5">IF(F14="X",60*0.05,"")</f>
        <v>3</v>
      </c>
      <c r="H14" s="16" t="str">
        <f t="shared" si="1"/>
        <v/>
      </c>
      <c r="I14" s="16" t="str">
        <f t="shared" ref="I14" si="6">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c r="E15" s="16" t="str">
        <f t="shared" ref="E15:E21" si="7">IF(D15="X",100*0.05,"")</f>
        <v/>
      </c>
      <c r="F15" s="16" t="s">
        <v>95</v>
      </c>
      <c r="G15" s="16">
        <f t="shared" ref="G15:G21" si="8">IF(F15="X",60*0.05,"")</f>
        <v>3</v>
      </c>
      <c r="H15" s="16" t="str">
        <f t="shared" si="1"/>
        <v/>
      </c>
      <c r="I15" s="16" t="str">
        <f t="shared" ref="I15:I21" si="9">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t="s">
        <v>95</v>
      </c>
      <c r="E16" s="16">
        <f>IF(D16="X",100*0.05,"")</f>
        <v>5</v>
      </c>
      <c r="F16" s="16"/>
      <c r="G16" s="16" t="str">
        <f>IF(F16="X",60*0.05,"")</f>
        <v/>
      </c>
      <c r="H16" s="16" t="str">
        <f t="shared" si="1"/>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c r="E17" s="16" t="str">
        <f t="shared" ref="E17" si="10">IF(D17="X",100*0.1,"")</f>
        <v/>
      </c>
      <c r="F17" s="16" t="s">
        <v>95</v>
      </c>
      <c r="G17" s="16">
        <f t="shared" ref="G17" si="11">IF(F17="X",60*0.1,"")</f>
        <v>6</v>
      </c>
      <c r="H17" s="16" t="str">
        <f t="shared" ref="H17:H22" si="12">IF($C17=ML,"X","")</f>
        <v/>
      </c>
      <c r="I17" s="16" t="str">
        <f t="shared" ref="I17" si="13">IF(H17="X",30*0.1,"")</f>
        <v/>
      </c>
      <c r="J17" s="16" t="str">
        <f t="shared" ref="J17:J22" si="14">IF($C17=NL,"X","")</f>
        <v/>
      </c>
      <c r="K17" s="16" t="str">
        <f t="shared" ref="K17:K22" si="15">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c r="E18" s="16" t="str">
        <f t="shared" ref="E18" si="16">IF(D18="X",100*0.1,"")</f>
        <v/>
      </c>
      <c r="F18" s="16" t="s">
        <v>95</v>
      </c>
      <c r="G18" s="16">
        <f t="shared" ref="G18" si="17">IF(F18="X",60*0.1,"")</f>
        <v>6</v>
      </c>
      <c r="H18" s="16"/>
      <c r="I18" s="16" t="str">
        <f t="shared" ref="I18" si="18">IF(H18="X",30*0.1,"")</f>
        <v/>
      </c>
      <c r="J18" s="16" t="str">
        <f t="shared" si="14"/>
        <v/>
      </c>
      <c r="K18" s="16" t="str">
        <f t="shared" si="15"/>
        <v/>
      </c>
    </row>
    <row r="19" spans="1:11" ht="24" outlineLevel="1" x14ac:dyDescent="0.25">
      <c r="A19" s="65"/>
      <c r="B19" s="35" t="str">
        <f>RUBRICA!A12</f>
        <v>8. Determina evidencias, justificando cómo estas dan cuenta del logro de las actividades del Proyecto APT.</v>
      </c>
      <c r="C19" s="33" t="s">
        <v>7</v>
      </c>
      <c r="D19" s="16"/>
      <c r="E19" s="16" t="str">
        <f>IF(D19="X",100*0.05,"")</f>
        <v/>
      </c>
      <c r="F19" s="16" t="s">
        <v>95</v>
      </c>
      <c r="G19" s="16">
        <f t="shared" ref="G19" si="19">IF(F19="X",60*0.05,"")</f>
        <v>3</v>
      </c>
      <c r="H19" s="16" t="str">
        <f t="shared" si="12"/>
        <v/>
      </c>
      <c r="I19" s="16" t="str">
        <f t="shared" ref="I19" si="20">IF(H19="X",30*0.05,"")</f>
        <v/>
      </c>
      <c r="J19" s="16" t="str">
        <f t="shared" si="14"/>
        <v/>
      </c>
      <c r="K19" s="16" t="str">
        <f t="shared" si="15"/>
        <v/>
      </c>
    </row>
    <row r="20" spans="1:11" ht="24" outlineLevel="1" x14ac:dyDescent="0.25">
      <c r="A20" s="65"/>
      <c r="B20" s="35" t="str">
        <f>RUBRICA!A13</f>
        <v xml:space="preserve">9. Utiliza reglas de redacción, ortografía (literal, puntual, acentual) y las normas para citas y referencias. </v>
      </c>
      <c r="C20" s="33" t="s">
        <v>7</v>
      </c>
      <c r="D20" s="16" t="s">
        <v>95</v>
      </c>
      <c r="E20" s="16">
        <f>IF(D20="X",100*0.05,"")</f>
        <v>5</v>
      </c>
      <c r="F20" s="16"/>
      <c r="G20" s="16" t="str">
        <f t="shared" si="8"/>
        <v/>
      </c>
      <c r="H20" s="16" t="str">
        <f t="shared" si="12"/>
        <v/>
      </c>
      <c r="I20" s="16" t="str">
        <f t="shared" si="9"/>
        <v/>
      </c>
      <c r="J20" s="16" t="str">
        <f t="shared" si="14"/>
        <v/>
      </c>
      <c r="K20" s="16" t="str">
        <f t="shared" si="15"/>
        <v/>
      </c>
    </row>
    <row r="21" spans="1:11" ht="22.9" customHeight="1" outlineLevel="1" x14ac:dyDescent="0.25">
      <c r="A21" s="65"/>
      <c r="B21" s="35" t="str">
        <f>RUBRICA!A14</f>
        <v>10. Cumple completando el contenido del informe de presentación del proyecto de acuerdo con la plantilla entregada.</v>
      </c>
      <c r="C21" s="33" t="s">
        <v>7</v>
      </c>
      <c r="D21" s="16" t="s">
        <v>95</v>
      </c>
      <c r="E21" s="16">
        <f t="shared" si="7"/>
        <v>5</v>
      </c>
      <c r="F21" s="16"/>
      <c r="G21" s="16" t="str">
        <f t="shared" si="8"/>
        <v/>
      </c>
      <c r="H21" s="16" t="str">
        <f t="shared" si="12"/>
        <v/>
      </c>
      <c r="I21" s="16" t="str">
        <f t="shared" si="9"/>
        <v/>
      </c>
      <c r="J21" s="16" t="str">
        <f t="shared" si="14"/>
        <v/>
      </c>
      <c r="K21" s="16" t="str">
        <f t="shared" si="15"/>
        <v/>
      </c>
    </row>
    <row r="22" spans="1:11" ht="36" outlineLevel="1" x14ac:dyDescent="0.25">
      <c r="A22" s="65"/>
      <c r="B22" s="35" t="str">
        <f>RUBRICA!A16</f>
        <v>12. Desarrolla un plan de trabajo que permita del logro de los objetivos propuestos del proyecto de 
acuerdo a los tiempos para su desarrollo</v>
      </c>
      <c r="C22" s="33" t="s">
        <v>7</v>
      </c>
      <c r="D22" s="16"/>
      <c r="E22" s="16" t="str">
        <f>IF(D22="X",100*0.1,"")</f>
        <v/>
      </c>
      <c r="F22" s="16" t="s">
        <v>95</v>
      </c>
      <c r="G22" s="16">
        <f>IF(F22="X",60*0.1,"")</f>
        <v>6</v>
      </c>
      <c r="H22" s="16"/>
      <c r="I22" s="16" t="str">
        <f>IF(H22="X",30*0.1,"")</f>
        <v/>
      </c>
      <c r="J22" s="16" t="str">
        <f t="shared" si="14"/>
        <v/>
      </c>
      <c r="K22" s="16" t="str">
        <f t="shared" si="15"/>
        <v/>
      </c>
    </row>
    <row r="23" spans="1:11" ht="15.75" customHeight="1" outlineLevel="1" x14ac:dyDescent="0.3">
      <c r="A23" s="61"/>
      <c r="B23" s="34" t="s">
        <v>11</v>
      </c>
      <c r="C23" s="37">
        <f>E23+G23+I23+K23</f>
        <v>52</v>
      </c>
      <c r="D23" s="19"/>
      <c r="E23" s="19">
        <f>SUM(E13:E22)</f>
        <v>25</v>
      </c>
      <c r="F23" s="19"/>
      <c r="G23" s="19">
        <f>SUM(G13:G22)</f>
        <v>27</v>
      </c>
      <c r="H23" s="19"/>
      <c r="I23" s="19">
        <f>SUM(I13:I22)</f>
        <v>0</v>
      </c>
      <c r="J23" s="19"/>
      <c r="K23" s="19">
        <f>SUM(K13:K22)</f>
        <v>0</v>
      </c>
    </row>
    <row r="24" spans="1:11" ht="15.75" customHeight="1" outlineLevel="1" x14ac:dyDescent="0.3">
      <c r="A24" s="50"/>
      <c r="B24" s="36" t="s">
        <v>12</v>
      </c>
      <c r="C24" s="20">
        <f>VLOOKUP(C23,ESCALA_IEP!A2:B142,2,FALSE)</f>
        <v>5.0999999999999996</v>
      </c>
    </row>
    <row r="25" spans="1:11" ht="15.75" customHeight="1" x14ac:dyDescent="0.25"/>
    <row r="26" spans="1:11" ht="15.75" customHeight="1" x14ac:dyDescent="0.25"/>
    <row r="27" spans="1:11" ht="15.75" customHeight="1" x14ac:dyDescent="0.25">
      <c r="A27" s="60" t="s">
        <v>13</v>
      </c>
      <c r="B27" s="49" t="s">
        <v>14</v>
      </c>
      <c r="C27" s="52" t="str">
        <f>$B$4</f>
        <v>Esteban Fierro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c r="E31" s="16" t="str">
        <f>IF(D31="X",100*0.1,"")</f>
        <v/>
      </c>
      <c r="F31" s="16" t="s">
        <v>95</v>
      </c>
      <c r="G31" s="16">
        <f>IF(F31="X",60*0.1,"")</f>
        <v>6</v>
      </c>
      <c r="H31" s="16" t="str">
        <f t="shared" ref="H31:H32" si="21">IF($C31=ML,"X","")</f>
        <v/>
      </c>
      <c r="I31" s="16" t="str">
        <f>IF(H31="X",30*0.1,"")</f>
        <v/>
      </c>
      <c r="J31" s="16" t="str">
        <f t="shared" ref="J31:J32" si="22">IF($C31=NL,"X","")</f>
        <v/>
      </c>
      <c r="K31" s="16" t="str">
        <f t="shared" ref="K31:K32" si="23">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c r="I32" s="16" t="str">
        <f>IF(H32="X",30*0.1,"")</f>
        <v/>
      </c>
      <c r="J32" s="16" t="str">
        <f t="shared" si="22"/>
        <v/>
      </c>
      <c r="K32" s="16" t="str">
        <f t="shared" si="23"/>
        <v/>
      </c>
    </row>
    <row r="33" spans="1:11" x14ac:dyDescent="0.25">
      <c r="A33" s="61"/>
      <c r="B33" s="35" t="str">
        <f>RUBRICA!A17</f>
        <v>13. Colaboración y trabajo en equipo *</v>
      </c>
      <c r="C33" s="33" t="s">
        <v>7</v>
      </c>
      <c r="D33" s="16" t="s">
        <v>95</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22</v>
      </c>
      <c r="D34" s="19"/>
      <c r="E34" s="19">
        <f>SUM(E31:E33)</f>
        <v>10</v>
      </c>
      <c r="F34" s="19"/>
      <c r="G34" s="19">
        <f t="shared" ref="G34:K34" si="24">SUM(G31:G33)</f>
        <v>12</v>
      </c>
      <c r="H34" s="19"/>
      <c r="I34" s="19">
        <f t="shared" si="24"/>
        <v>0</v>
      </c>
      <c r="J34" s="19"/>
      <c r="K34" s="19">
        <f t="shared" si="24"/>
        <v>0</v>
      </c>
    </row>
    <row r="35" spans="1:11" ht="15.75" customHeight="1" x14ac:dyDescent="0.3">
      <c r="A35" s="50"/>
      <c r="B35" s="17" t="s">
        <v>12</v>
      </c>
      <c r="C35" s="20">
        <f>VLOOKUP(C34,ESCALA_TRAB_EQUIP!A2:B62,2,FALSE)</f>
        <v>5</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Francisca Herrera</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c r="E43" s="16" t="str">
        <f>IF(D43="X",100*0.1,"")</f>
        <v/>
      </c>
      <c r="F43" s="16" t="s">
        <v>95</v>
      </c>
      <c r="G43" s="16">
        <f>IF(F43="X",60*0.1,"")</f>
        <v>6</v>
      </c>
      <c r="H43" s="16" t="str">
        <f t="shared" ref="H43:H44" si="25">IF($C43=ML,"X","")</f>
        <v/>
      </c>
      <c r="I43" s="16" t="str">
        <f>IF(H43="X",30*0.1,"")</f>
        <v/>
      </c>
      <c r="J43" s="16" t="str">
        <f t="shared" ref="J43:J44" si="26">IF($C43=NL,"X","")</f>
        <v/>
      </c>
      <c r="K43" s="16" t="str">
        <f t="shared" ref="K43:K44" si="27">IF($J43="X",0,"")</f>
        <v/>
      </c>
    </row>
    <row r="44" spans="1:11" ht="24" x14ac:dyDescent="0.25">
      <c r="A44" s="61"/>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5"/>
        <v/>
      </c>
      <c r="I44" s="16" t="str">
        <f>IF(H44="X",30*0.1,"")</f>
        <v/>
      </c>
      <c r="J44" s="16" t="str">
        <f t="shared" si="26"/>
        <v/>
      </c>
      <c r="K44" s="16" t="str">
        <f t="shared" si="27"/>
        <v/>
      </c>
    </row>
    <row r="45" spans="1:11" ht="15.75" customHeight="1" x14ac:dyDescent="0.25">
      <c r="A45" s="61"/>
      <c r="B45" s="35" t="str">
        <f>RUBRICA!A17</f>
        <v>13. Colaboración y trabajo en equipo *</v>
      </c>
      <c r="C45" s="33" t="s">
        <v>7</v>
      </c>
      <c r="D45" s="16" t="s">
        <v>95</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22</v>
      </c>
      <c r="D46" s="19"/>
      <c r="E46" s="19">
        <f>SUM(E43:E45)</f>
        <v>10</v>
      </c>
      <c r="F46" s="19"/>
      <c r="G46" s="19">
        <f t="shared" ref="G46" si="28">SUM(G43:G45)</f>
        <v>12</v>
      </c>
      <c r="H46" s="19"/>
      <c r="I46" s="19">
        <f t="shared" ref="I46" si="29">SUM(I43:I45)</f>
        <v>0</v>
      </c>
      <c r="J46" s="19"/>
      <c r="K46" s="19">
        <f t="shared" ref="K46" si="30">SUM(K43:K45)</f>
        <v>0</v>
      </c>
    </row>
    <row r="47" spans="1:11" ht="15.75" customHeight="1" x14ac:dyDescent="0.3">
      <c r="A47" s="50"/>
      <c r="B47" s="17" t="s">
        <v>12</v>
      </c>
      <c r="C47" s="20">
        <f>VLOOKUP(C46,ESCALA_TRAB_EQUIP!A2:B62,2,FALSE)</f>
        <v>5</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c r="E54" s="16" t="str">
        <f>IF(D54="X",100*0.1,"")</f>
        <v/>
      </c>
      <c r="F54" s="16" t="str">
        <f t="shared" ref="F54:F55" si="31">IF($C54=L,"X","")</f>
        <v/>
      </c>
      <c r="G54" s="16" t="str">
        <f>IF(F54="X",60*0.1,"")</f>
        <v/>
      </c>
      <c r="H54" s="16" t="str">
        <f t="shared" ref="H54:H55" si="32">IF($C54=ML,"X","")</f>
        <v/>
      </c>
      <c r="I54" s="16" t="str">
        <f>IF(H54="X",30*0.1,"")</f>
        <v/>
      </c>
      <c r="J54" s="16" t="str">
        <f t="shared" ref="J54:J55" si="33">IF($C54=NL,"X","")</f>
        <v/>
      </c>
      <c r="K54" s="16" t="str">
        <f t="shared" ref="K54:K55" si="34">IF($J54="X",0,"")</f>
        <v/>
      </c>
    </row>
    <row r="55" spans="1:11" ht="24" x14ac:dyDescent="0.25">
      <c r="A55" s="61"/>
      <c r="B55" s="35" t="str">
        <f>RUBRICA!A15</f>
        <v>11. Expone el tema utilizando un lenguaje técnico disciplinar al presentar la propuesta y responde evidenciando un manejo de la información. *</v>
      </c>
      <c r="C55" s="33" t="s">
        <v>7</v>
      </c>
      <c r="D55" s="16"/>
      <c r="E55" s="16" t="str">
        <f>IF(D55="X",100*0.1,"")</f>
        <v/>
      </c>
      <c r="F55" s="16"/>
      <c r="G55" s="16" t="str">
        <f>IF(F55="X",60*0.1,"")</f>
        <v/>
      </c>
      <c r="H55" s="16" t="str">
        <f t="shared" si="32"/>
        <v/>
      </c>
      <c r="I55" s="16" t="str">
        <f>IF(H55="X",30*0.1,"")</f>
        <v/>
      </c>
      <c r="J55" s="16" t="str">
        <f t="shared" si="33"/>
        <v/>
      </c>
      <c r="K55" s="16" t="str">
        <f t="shared" si="34"/>
        <v/>
      </c>
    </row>
    <row r="56" spans="1:11" ht="15.75" customHeight="1" x14ac:dyDescent="0.25">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0</v>
      </c>
      <c r="D57" s="19">
        <f>COUNTIF(D55:D56,"X")</f>
        <v>0</v>
      </c>
      <c r="E57" s="19">
        <f>SUM(E54:E56)</f>
        <v>0</v>
      </c>
      <c r="F57" s="19">
        <f t="shared" ref="F57" si="35">SUM(F54:F56)</f>
        <v>0</v>
      </c>
      <c r="G57" s="19">
        <f t="shared" ref="G57" si="36">SUM(G54:G56)</f>
        <v>0</v>
      </c>
      <c r="H57" s="19">
        <f t="shared" ref="H57" si="37">SUM(H54:H56)</f>
        <v>0</v>
      </c>
      <c r="I57" s="19">
        <f t="shared" ref="I57" si="38">SUM(I54:I56)</f>
        <v>0</v>
      </c>
      <c r="J57" s="19">
        <f t="shared" ref="J57" si="39">SUM(J54:J56)</f>
        <v>0</v>
      </c>
      <c r="K57" s="19">
        <f t="shared" ref="K57" si="40">SUM(K54:K56)</f>
        <v>0</v>
      </c>
    </row>
    <row r="58" spans="1:11" ht="15.75" customHeight="1" x14ac:dyDescent="0.3">
      <c r="A58" s="50"/>
      <c r="B58" s="17" t="s">
        <v>12</v>
      </c>
      <c r="C58" s="20">
        <f>VLOOKUP(C57,ESCALA_TRAB_EQUIP!A2:B62,2,FALSE)</f>
        <v>1</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2025-09-17T00:09:00Z</dcterms:modified>
  <cp:category/>
  <cp:contentStatus/>
</cp:coreProperties>
</file>